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</sheets>
  <definedNames>
    <definedName function="false" hidden="true" localSheetId="0" name="_xlnm._FilterDatabase" vbProcedure="false">Tracker!$A$16:$H$43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<sst xmlns="http://schemas.openxmlformats.org/spreadsheetml/2006/main" count="176" uniqueCount="68">
  <si>
    <t xml:space="preserve">Jet Ski Product Page: Progress Tracker</t>
  </si>
  <si>
    <t xml:space="preserve">Same 27 items as the Word document. Edit only the yellow cells (Status, Checked, Notes). Everything in the summary updates by itself.</t>
  </si>
  <si>
    <t xml:space="preserve">Overall progress</t>
  </si>
  <si>
    <t xml:space="preserve">Count</t>
  </si>
  <si>
    <t xml:space="preserve">By group</t>
  </si>
  <si>
    <t xml:space="preserve">Items</t>
  </si>
  <si>
    <t xml:space="preserve">Done</t>
  </si>
  <si>
    <t xml:space="preserve">Needs review</t>
  </si>
  <si>
    <t xml:space="preserve">Pages: build to final KoverUI standard</t>
  </si>
  <si>
    <t xml:space="preserve">Not started</t>
  </si>
  <si>
    <t xml:space="preserve">Look and feel</t>
  </si>
  <si>
    <t xml:space="preserve">In progress</t>
  </si>
  <si>
    <t xml:space="preserve">Make it real (mockup fakes these today)</t>
  </si>
  <si>
    <t xml:space="preserve">Decisions and rules to settle</t>
  </si>
  <si>
    <t xml:space="preserve">Can't be done</t>
  </si>
  <si>
    <t xml:space="preserve">% Done</t>
  </si>
  <si>
    <t xml:space="preserve">% Checked (verified)</t>
  </si>
  <si>
    <t xml:space="preserve">Progress bar (Done)</t>
  </si>
  <si>
    <t xml:space="preserve">Legend: yellow cells are for you to fill in. 🔒 = deliberate design choice, check with us before changing.</t>
  </si>
  <si>
    <t xml:space="preserve">#</t>
  </si>
  <si>
    <t xml:space="preserve">Group</t>
  </si>
  <si>
    <t xml:space="preserve">Item</t>
  </si>
  <si>
    <t xml:space="preserve">🔒 Intentional</t>
  </si>
  <si>
    <t xml:space="preserve">Status</t>
  </si>
  <si>
    <t xml:space="preserve">Checked</t>
  </si>
  <si>
    <t xml:space="preserve">Notes / who / what we need to review</t>
  </si>
  <si>
    <t xml:space="preserve">Section in Word</t>
  </si>
  <si>
    <t xml:space="preserve">Intro and duty acknowledgement</t>
  </si>
  <si>
    <t xml:space="preserve">Yes</t>
  </si>
  <si>
    <t xml:space="preserve">No</t>
  </si>
  <si>
    <t xml:space="preserve">Section 4.1</t>
  </si>
  <si>
    <t xml:space="preserve">Target Market Determination and decline</t>
  </si>
  <si>
    <t xml:space="preserve">Section 4.2</t>
  </si>
  <si>
    <t xml:space="preserve">PWC / Jet Ski Details fields and conditional questions</t>
  </si>
  <si>
    <t xml:space="preserve">Section 4.3</t>
  </si>
  <si>
    <t xml:space="preserve">Owners and skippers block</t>
  </si>
  <si>
    <t xml:space="preserve">Additional PWC / Jet Ski units</t>
  </si>
  <si>
    <t xml:space="preserve">Section 4.4</t>
  </si>
  <si>
    <t xml:space="preserve">History questions and claims table</t>
  </si>
  <si>
    <t xml:space="preserve">Section 4.5</t>
  </si>
  <si>
    <t xml:space="preserve">Your Quote layout, cover and summaries</t>
  </si>
  <si>
    <t xml:space="preserve">Section 4.6</t>
  </si>
  <si>
    <t xml:space="preserve">Referral and Email Quote modals</t>
  </si>
  <si>
    <t xml:space="preserve">Your Details, identification, trailers, attachments</t>
  </si>
  <si>
    <t xml:space="preserve">Section 4.7</t>
  </si>
  <si>
    <t xml:space="preserve">Payment: method and card entry</t>
  </si>
  <si>
    <t xml:space="preserve">Section 4.8</t>
  </si>
  <si>
    <t xml:space="preserve">Confirmation and documents</t>
  </si>
  <si>
    <t xml:space="preserve">Section 4.9</t>
  </si>
  <si>
    <t xml:space="preserve">Design system: palette, progress bar, ticks, panels</t>
  </si>
  <si>
    <t xml:space="preserve">Section 1</t>
  </si>
  <si>
    <t xml:space="preserve">Searchable dropdowns, dates, currency and length inputs</t>
  </si>
  <si>
    <t xml:space="preserve">Responsive, accessibility and browser testing</t>
  </si>
  <si>
    <t xml:space="preserve">Switch validation on (remove DEV_BYPASS_VALIDATION)</t>
  </si>
  <si>
    <t xml:space="preserve">Section 6</t>
  </si>
  <si>
    <t xml:space="preserve">Rating engine and per-unit pricing</t>
  </si>
  <si>
    <t xml:space="preserve">Address lookup</t>
  </si>
  <si>
    <t xml:space="preserve">Quote number, save and resume</t>
  </si>
  <si>
    <t xml:space="preserve">Email: quote and referral</t>
  </si>
  <si>
    <t xml:space="preserve">PDS, FSG, receipt, Certificate of Currency</t>
  </si>
  <si>
    <t xml:space="preserve">Payment gateway and surcharge fix</t>
  </si>
  <si>
    <t xml:space="preserve">File uploads and sign-in</t>
  </si>
  <si>
    <t xml:space="preserve">Full TMD decline rule set</t>
  </si>
  <si>
    <t xml:space="preserve">Section 7</t>
  </si>
  <si>
    <t xml:space="preserve">History answers: referral or decline?</t>
  </si>
  <si>
    <t xml:space="preserve">Skipper age and experience rules</t>
  </si>
  <si>
    <t xml:space="preserve">Instalments: the $172.31 gap</t>
  </si>
  <si>
    <t xml:space="preserve">Wording fixes (TMD "Vessel(s)", typo)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</si>
</sst>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9285C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F766E"/>
      <name val="Consola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  <fill>
      <patternFill patternType="solid">
        <fgColor rgb="FFFFFF99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F76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D1D5DB"/>
      <rgbColor rgb="FF808080"/>
      <rgbColor rgb="FF9999FF"/>
      <rgbColor rgb="FF993366"/>
      <rgbColor rgb="FFFFEB9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928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52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46"/>
    <col collapsed="false" customWidth="true" hidden="false" outlineLevel="0" max="8" min="8" style="0" width="16"/>
    <col collapsed="false" customWidth="true" hidden="false" outlineLevel="0" max="9" min="9" style="0" width="13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5</v>
      </c>
      <c r="B5" s="4" t="n">
        <f aca="false">SUMPRODUCT(--ISNUMBER($A$17:$A$47))</f>
        <v>27</v>
      </c>
      <c r="C5" s="4" t="s">
        <v>8</v>
      </c>
      <c r="D5" s="4" t="n">
        <f aca="false">COUNTIF($B$17:$B$47,C5)</f>
        <v>11</v>
      </c>
      <c r="E5" s="4" t="n">
        <f aca="false">COUNTIFS($B$17:$B$47,C5,$E$17:$E$47,"Done")</f>
        <v>0</v>
      </c>
      <c r="F5" s="4" t="n">
        <f aca="false">COUNTIFS($B$17:$B$47,C5,$E$17:$E$47,"Needs review")</f>
        <v>0</v>
      </c>
    </row>
    <row r="6" customFormat="false" ht="15" hidden="false" customHeight="false" outlineLevel="0" collapsed="false">
      <c r="A6" s="4" t="s">
        <v>9</v>
      </c>
      <c r="B6" s="4" t="n">
        <f aca="false">COUNTIF($E$17:$E$47,A6)</f>
        <v>27</v>
      </c>
      <c r="C6" s="4" t="s">
        <v>10</v>
      </c>
      <c r="D6" s="4" t="n">
        <f aca="false">COUNTIF($B$17:$B$47,C6)</f>
        <v>3</v>
      </c>
      <c r="E6" s="4" t="n">
        <f aca="false">COUNTIFS($B$17:$B$47,C6,$E$17:$E$47,"Done")</f>
        <v>0</v>
      </c>
      <c r="F6" s="4" t="n">
        <f aca="false">COUNTIFS($B$17:$B$47,C6,$E$17:$E$47,"Needs review")</f>
        <v>0</v>
      </c>
    </row>
    <row r="7" customFormat="false" ht="15" hidden="false" customHeight="false" outlineLevel="0" collapsed="false">
      <c r="A7" s="4" t="s">
        <v>11</v>
      </c>
      <c r="B7" s="4" t="n">
        <f aca="false">COUNTIF($E$17:$E$47,A7)</f>
        <v>0</v>
      </c>
      <c r="C7" s="4" t="s">
        <v>12</v>
      </c>
      <c r="D7" s="4" t="n">
        <f aca="false">COUNTIF($B$17:$B$47,C7)</f>
        <v>8</v>
      </c>
      <c r="E7" s="4" t="n">
        <f aca="false">COUNTIFS($B$17:$B$47,C7,$E$17:$E$47,"Done")</f>
        <v>0</v>
      </c>
      <c r="F7" s="4" t="n">
        <f aca="false">COUNTIFS($B$17:$B$47,C7,$E$17:$E$47,"Needs review")</f>
        <v>0</v>
      </c>
    </row>
    <row r="8" customFormat="false" ht="15" hidden="false" customHeight="false" outlineLevel="0" collapsed="false">
      <c r="A8" s="4" t="s">
        <v>7</v>
      </c>
      <c r="B8" s="4" t="n">
        <f aca="false">COUNTIF($E$17:$E$47,A8)</f>
        <v>0</v>
      </c>
      <c r="C8" s="4" t="s">
        <v>13</v>
      </c>
      <c r="D8" s="4" t="n">
        <f aca="false">COUNTIF($B$17:$B$47,C8)</f>
        <v>5</v>
      </c>
      <c r="E8" s="4" t="n">
        <f aca="false">COUNTIFS($B$17:$B$47,C8,$E$17:$E$47,"Done")</f>
        <v>0</v>
      </c>
      <c r="F8" s="4" t="n">
        <f aca="false">COUNTIFS($B$17:$B$47,C8,$E$17:$E$47,"Needs review")</f>
        <v>0</v>
      </c>
    </row>
    <row r="9" customFormat="false" ht="15" hidden="false" customHeight="false" outlineLevel="0" collapsed="false">
      <c r="A9" s="4" t="s">
        <v>14</v>
      </c>
      <c r="B9" s="4" t="n">
        <f aca="false">COUNTIF($E$17:$E$47,A9)</f>
        <v>0</v>
      </c>
    </row>
    <row r="10" customFormat="false" ht="15" hidden="false" customHeight="false" outlineLevel="0" collapsed="false">
      <c r="A10" s="4" t="s">
        <v>6</v>
      </c>
      <c r="B10" s="4" t="n">
        <f aca="false">COUNTIF($E$17:$E$47,A10)</f>
        <v>0</v>
      </c>
    </row>
    <row r="11" customFormat="false" ht="15" hidden="false" customHeight="false" outlineLevel="0" collapsed="false">
      <c r="A11" s="5" t="s">
        <v>15</v>
      </c>
      <c r="B11" s="6" t="n">
        <f aca="false">IF($B$5=0,0,B10/$B$5)</f>
        <v>0</v>
      </c>
    </row>
    <row r="12" customFormat="false" ht="15" hidden="false" customHeight="false" outlineLevel="0" collapsed="false">
      <c r="A12" s="4" t="s">
        <v>16</v>
      </c>
      <c r="B12" s="7" t="n">
        <f aca="false">IF($B$5=0,0,COUNTIF($F$17:$F$47,"Yes")/$B$5)</f>
        <v>0</v>
      </c>
    </row>
    <row r="13" customFormat="false" ht="15" hidden="false" customHeight="false" outlineLevel="0" collapsed="false">
      <c r="A13" s="8" t="s">
        <v>17</v>
      </c>
      <c r="B13" s="9" t="str">
        <f aca="false">REPT("█",ROUND(B11*20,0))&amp;REPT("░",20-ROUND(B11*20,0))</f>
        <v>░░░░░░░░░░░░░░░░░░░░</v>
      </c>
    </row>
    <row r="15" customFormat="false" ht="15" hidden="false" customHeight="false" outlineLevel="0" collapsed="false">
      <c r="A15" s="0" t="s">
        <v>18</v>
      </c>
    </row>
    <row r="16" customFormat="false" ht="23.85" hidden="false" customHeight="false" outlineLevel="0" collapsed="false">
      <c r="A16" s="10" t="s">
        <v>19</v>
      </c>
      <c r="B16" s="10" t="s">
        <v>20</v>
      </c>
      <c r="C16" s="10" t="s">
        <v>21</v>
      </c>
      <c r="D16" s="10" t="s">
        <v>22</v>
      </c>
      <c r="E16" s="10" t="s">
        <v>23</v>
      </c>
      <c r="F16" s="10" t="s">
        <v>24</v>
      </c>
      <c r="G16" s="10" t="s">
        <v>25</v>
      </c>
      <c r="H16" s="10" t="s">
        <v>26</v>
      </c>
    </row>
    <row r="17" customFormat="false" ht="15" hidden="false" customHeight="false" outlineLevel="0" collapsed="false">
      <c r="A17" s="11" t="n">
        <v>1</v>
      </c>
      <c r="B17" s="11" t="s">
        <v>8</v>
      </c>
      <c r="C17" s="11" t="s">
        <v>27</v>
      </c>
      <c r="D17" s="11" t="s">
        <v>28</v>
      </c>
      <c r="E17" s="12" t="s">
        <v>9</v>
      </c>
      <c r="F17" s="12" t="s">
        <v>29</v>
      </c>
      <c r="G17" s="12"/>
      <c r="H17" s="11" t="s">
        <v>30</v>
      </c>
    </row>
    <row r="18" customFormat="false" ht="15" hidden="false" customHeight="false" outlineLevel="0" collapsed="false">
      <c r="A18" s="11" t="n">
        <v>2</v>
      </c>
      <c r="B18" s="11" t="s">
        <v>8</v>
      </c>
      <c r="C18" s="11" t="s">
        <v>31</v>
      </c>
      <c r="D18" s="11"/>
      <c r="E18" s="12" t="s">
        <v>9</v>
      </c>
      <c r="F18" s="12" t="s">
        <v>29</v>
      </c>
      <c r="G18" s="12"/>
      <c r="H18" s="11" t="s">
        <v>32</v>
      </c>
    </row>
    <row r="19" customFormat="false" ht="15" hidden="false" customHeight="false" outlineLevel="0" collapsed="false">
      <c r="A19" s="11" t="n">
        <v>3</v>
      </c>
      <c r="B19" s="11" t="s">
        <v>8</v>
      </c>
      <c r="C19" s="11" t="s">
        <v>33</v>
      </c>
      <c r="D19" s="11" t="s">
        <v>28</v>
      </c>
      <c r="E19" s="12" t="s">
        <v>9</v>
      </c>
      <c r="F19" s="12" t="s">
        <v>29</v>
      </c>
      <c r="G19" s="12"/>
      <c r="H19" s="11" t="s">
        <v>34</v>
      </c>
    </row>
    <row r="20" customFormat="false" ht="15" hidden="false" customHeight="false" outlineLevel="0" collapsed="false">
      <c r="A20" s="11" t="n">
        <v>4</v>
      </c>
      <c r="B20" s="11" t="s">
        <v>8</v>
      </c>
      <c r="C20" s="11" t="s">
        <v>35</v>
      </c>
      <c r="D20" s="11" t="s">
        <v>28</v>
      </c>
      <c r="E20" s="12" t="s">
        <v>9</v>
      </c>
      <c r="F20" s="12" t="s">
        <v>29</v>
      </c>
      <c r="G20" s="12"/>
      <c r="H20" s="11" t="s">
        <v>34</v>
      </c>
    </row>
    <row r="21" customFormat="false" ht="15" hidden="false" customHeight="false" outlineLevel="0" collapsed="false">
      <c r="A21" s="11" t="n">
        <v>5</v>
      </c>
      <c r="B21" s="11" t="s">
        <v>8</v>
      </c>
      <c r="C21" s="11" t="s">
        <v>36</v>
      </c>
      <c r="D21" s="11" t="s">
        <v>28</v>
      </c>
      <c r="E21" s="12" t="s">
        <v>9</v>
      </c>
      <c r="F21" s="12" t="s">
        <v>29</v>
      </c>
      <c r="G21" s="12"/>
      <c r="H21" s="11" t="s">
        <v>37</v>
      </c>
    </row>
    <row r="22" customFormat="false" ht="15" hidden="false" customHeight="false" outlineLevel="0" collapsed="false">
      <c r="A22" s="11" t="n">
        <v>6</v>
      </c>
      <c r="B22" s="11" t="s">
        <v>8</v>
      </c>
      <c r="C22" s="11" t="s">
        <v>38</v>
      </c>
      <c r="D22" s="11" t="s">
        <v>28</v>
      </c>
      <c r="E22" s="12" t="s">
        <v>9</v>
      </c>
      <c r="F22" s="12" t="s">
        <v>29</v>
      </c>
      <c r="G22" s="12"/>
      <c r="H22" s="11" t="s">
        <v>39</v>
      </c>
    </row>
    <row r="23" customFormat="false" ht="15" hidden="false" customHeight="false" outlineLevel="0" collapsed="false">
      <c r="A23" s="11" t="n">
        <v>7</v>
      </c>
      <c r="B23" s="11" t="s">
        <v>8</v>
      </c>
      <c r="C23" s="11" t="s">
        <v>40</v>
      </c>
      <c r="D23" s="11" t="s">
        <v>28</v>
      </c>
      <c r="E23" s="12" t="s">
        <v>9</v>
      </c>
      <c r="F23" s="12" t="s">
        <v>29</v>
      </c>
      <c r="G23" s="12"/>
      <c r="H23" s="11" t="s">
        <v>41</v>
      </c>
    </row>
    <row r="24" customFormat="false" ht="15" hidden="false" customHeight="false" outlineLevel="0" collapsed="false">
      <c r="A24" s="11" t="n">
        <v>8</v>
      </c>
      <c r="B24" s="11" t="s">
        <v>8</v>
      </c>
      <c r="C24" s="11" t="s">
        <v>42</v>
      </c>
      <c r="D24" s="11" t="s">
        <v>28</v>
      </c>
      <c r="E24" s="12" t="s">
        <v>9</v>
      </c>
      <c r="F24" s="12" t="s">
        <v>29</v>
      </c>
      <c r="G24" s="12"/>
      <c r="H24" s="11" t="s">
        <v>41</v>
      </c>
    </row>
    <row r="25" customFormat="false" ht="15" hidden="false" customHeight="false" outlineLevel="0" collapsed="false">
      <c r="A25" s="11" t="n">
        <v>9</v>
      </c>
      <c r="B25" s="11" t="s">
        <v>8</v>
      </c>
      <c r="C25" s="11" t="s">
        <v>43</v>
      </c>
      <c r="D25" s="11"/>
      <c r="E25" s="12" t="s">
        <v>9</v>
      </c>
      <c r="F25" s="12" t="s">
        <v>29</v>
      </c>
      <c r="G25" s="12"/>
      <c r="H25" s="11" t="s">
        <v>44</v>
      </c>
    </row>
    <row r="26" customFormat="false" ht="15" hidden="false" customHeight="false" outlineLevel="0" collapsed="false">
      <c r="A26" s="11" t="n">
        <v>10</v>
      </c>
      <c r="B26" s="11" t="s">
        <v>8</v>
      </c>
      <c r="C26" s="11" t="s">
        <v>45</v>
      </c>
      <c r="D26" s="11" t="s">
        <v>28</v>
      </c>
      <c r="E26" s="12" t="s">
        <v>9</v>
      </c>
      <c r="F26" s="12" t="s">
        <v>29</v>
      </c>
      <c r="G26" s="12"/>
      <c r="H26" s="11" t="s">
        <v>46</v>
      </c>
    </row>
    <row r="27" customFormat="false" ht="15" hidden="false" customHeight="false" outlineLevel="0" collapsed="false">
      <c r="A27" s="11" t="n">
        <v>11</v>
      </c>
      <c r="B27" s="11" t="s">
        <v>8</v>
      </c>
      <c r="C27" s="11" t="s">
        <v>47</v>
      </c>
      <c r="D27" s="11" t="s">
        <v>28</v>
      </c>
      <c r="E27" s="12" t="s">
        <v>9</v>
      </c>
      <c r="F27" s="12" t="s">
        <v>29</v>
      </c>
      <c r="G27" s="12"/>
      <c r="H27" s="11" t="s">
        <v>48</v>
      </c>
    </row>
    <row r="28" customFormat="false" ht="15" hidden="false" customHeight="false" outlineLevel="0" collapsed="false">
      <c r="A28" s="11" t="n">
        <v>12</v>
      </c>
      <c r="B28" s="11" t="s">
        <v>10</v>
      </c>
      <c r="C28" s="11" t="s">
        <v>49</v>
      </c>
      <c r="D28" s="11" t="s">
        <v>28</v>
      </c>
      <c r="E28" s="12" t="s">
        <v>9</v>
      </c>
      <c r="F28" s="12" t="s">
        <v>29</v>
      </c>
      <c r="G28" s="12"/>
      <c r="H28" s="11" t="s">
        <v>50</v>
      </c>
    </row>
    <row r="29" customFormat="false" ht="15" hidden="false" customHeight="false" outlineLevel="0" collapsed="false">
      <c r="A29" s="11" t="n">
        <v>13</v>
      </c>
      <c r="B29" s="11" t="s">
        <v>10</v>
      </c>
      <c r="C29" s="11" t="s">
        <v>51</v>
      </c>
      <c r="D29" s="11" t="s">
        <v>28</v>
      </c>
      <c r="E29" s="12" t="s">
        <v>9</v>
      </c>
      <c r="F29" s="12" t="s">
        <v>29</v>
      </c>
      <c r="G29" s="12"/>
      <c r="H29" s="11" t="s">
        <v>50</v>
      </c>
    </row>
    <row r="30" customFormat="false" ht="15" hidden="false" customHeight="false" outlineLevel="0" collapsed="false">
      <c r="A30" s="11" t="n">
        <v>14</v>
      </c>
      <c r="B30" s="11" t="s">
        <v>10</v>
      </c>
      <c r="C30" s="11" t="s">
        <v>52</v>
      </c>
      <c r="D30" s="11"/>
      <c r="E30" s="12" t="s">
        <v>9</v>
      </c>
      <c r="F30" s="12" t="s">
        <v>29</v>
      </c>
      <c r="G30" s="12"/>
      <c r="H30" s="11" t="s">
        <v>50</v>
      </c>
    </row>
    <row r="31" customFormat="false" ht="15" hidden="false" customHeight="false" outlineLevel="0" collapsed="false">
      <c r="A31" s="11" t="n">
        <v>15</v>
      </c>
      <c r="B31" s="11" t="s">
        <v>12</v>
      </c>
      <c r="C31" s="11" t="s">
        <v>53</v>
      </c>
      <c r="D31" s="11"/>
      <c r="E31" s="12" t="s">
        <v>9</v>
      </c>
      <c r="F31" s="12" t="s">
        <v>29</v>
      </c>
      <c r="G31" s="12"/>
      <c r="H31" s="11" t="s">
        <v>54</v>
      </c>
    </row>
    <row r="32" customFormat="false" ht="15" hidden="false" customHeight="false" outlineLevel="0" collapsed="false">
      <c r="A32" s="11" t="n">
        <v>16</v>
      </c>
      <c r="B32" s="11" t="s">
        <v>12</v>
      </c>
      <c r="C32" s="11" t="s">
        <v>55</v>
      </c>
      <c r="D32" s="11"/>
      <c r="E32" s="12" t="s">
        <v>9</v>
      </c>
      <c r="F32" s="12" t="s">
        <v>29</v>
      </c>
      <c r="G32" s="12"/>
      <c r="H32" s="11" t="s">
        <v>54</v>
      </c>
    </row>
    <row r="33" customFormat="false" ht="15" hidden="false" customHeight="false" outlineLevel="0" collapsed="false">
      <c r="A33" s="11" t="n">
        <v>17</v>
      </c>
      <c r="B33" s="11" t="s">
        <v>12</v>
      </c>
      <c r="C33" s="11" t="s">
        <v>56</v>
      </c>
      <c r="D33" s="11"/>
      <c r="E33" s="12" t="s">
        <v>9</v>
      </c>
      <c r="F33" s="12" t="s">
        <v>29</v>
      </c>
      <c r="G33" s="12"/>
      <c r="H33" s="11" t="s">
        <v>54</v>
      </c>
    </row>
    <row r="34" customFormat="false" ht="15" hidden="false" customHeight="false" outlineLevel="0" collapsed="false">
      <c r="A34" s="11" t="n">
        <v>18</v>
      </c>
      <c r="B34" s="11" t="s">
        <v>12</v>
      </c>
      <c r="C34" s="11" t="s">
        <v>57</v>
      </c>
      <c r="D34" s="11"/>
      <c r="E34" s="12" t="s">
        <v>9</v>
      </c>
      <c r="F34" s="12" t="s">
        <v>29</v>
      </c>
      <c r="G34" s="12"/>
      <c r="H34" s="11" t="s">
        <v>54</v>
      </c>
    </row>
    <row r="35" customFormat="false" ht="15" hidden="false" customHeight="false" outlineLevel="0" collapsed="false">
      <c r="A35" s="11" t="n">
        <v>19</v>
      </c>
      <c r="B35" s="11" t="s">
        <v>12</v>
      </c>
      <c r="C35" s="11" t="s">
        <v>58</v>
      </c>
      <c r="D35" s="11"/>
      <c r="E35" s="12" t="s">
        <v>9</v>
      </c>
      <c r="F35" s="12" t="s">
        <v>29</v>
      </c>
      <c r="G35" s="12"/>
      <c r="H35" s="11" t="s">
        <v>54</v>
      </c>
    </row>
    <row r="36" customFormat="false" ht="15" hidden="false" customHeight="false" outlineLevel="0" collapsed="false">
      <c r="A36" s="11" t="n">
        <v>20</v>
      </c>
      <c r="B36" s="11" t="s">
        <v>12</v>
      </c>
      <c r="C36" s="11" t="s">
        <v>59</v>
      </c>
      <c r="D36" s="11"/>
      <c r="E36" s="12" t="s">
        <v>9</v>
      </c>
      <c r="F36" s="12" t="s">
        <v>29</v>
      </c>
      <c r="G36" s="12"/>
      <c r="H36" s="11" t="s">
        <v>54</v>
      </c>
    </row>
    <row r="37" customFormat="false" ht="15" hidden="false" customHeight="false" outlineLevel="0" collapsed="false">
      <c r="A37" s="11" t="n">
        <v>21</v>
      </c>
      <c r="B37" s="11" t="s">
        <v>12</v>
      </c>
      <c r="C37" s="11" t="s">
        <v>60</v>
      </c>
      <c r="D37" s="11"/>
      <c r="E37" s="12" t="s">
        <v>9</v>
      </c>
      <c r="F37" s="12" t="s">
        <v>29</v>
      </c>
      <c r="G37" s="12"/>
      <c r="H37" s="11" t="s">
        <v>54</v>
      </c>
    </row>
    <row r="38" customFormat="false" ht="15" hidden="false" customHeight="false" outlineLevel="0" collapsed="false">
      <c r="A38" s="11" t="n">
        <v>22</v>
      </c>
      <c r="B38" s="11" t="s">
        <v>12</v>
      </c>
      <c r="C38" s="11" t="s">
        <v>61</v>
      </c>
      <c r="D38" s="11"/>
      <c r="E38" s="12" t="s">
        <v>9</v>
      </c>
      <c r="F38" s="12" t="s">
        <v>29</v>
      </c>
      <c r="G38" s="12"/>
      <c r="H38" s="11" t="s">
        <v>54</v>
      </c>
    </row>
    <row r="39" customFormat="false" ht="15" hidden="false" customHeight="false" outlineLevel="0" collapsed="false">
      <c r="A39" s="11" t="n">
        <v>23</v>
      </c>
      <c r="B39" s="11" t="s">
        <v>13</v>
      </c>
      <c r="C39" s="11" t="s">
        <v>62</v>
      </c>
      <c r="D39" s="11"/>
      <c r="E39" s="12" t="s">
        <v>9</v>
      </c>
      <c r="F39" s="12" t="s">
        <v>29</v>
      </c>
      <c r="G39" s="12"/>
      <c r="H39" s="11" t="s">
        <v>63</v>
      </c>
    </row>
    <row r="40" customFormat="false" ht="15" hidden="false" customHeight="false" outlineLevel="0" collapsed="false">
      <c r="A40" s="11" t="n">
        <v>24</v>
      </c>
      <c r="B40" s="11" t="s">
        <v>13</v>
      </c>
      <c r="C40" s="11" t="s">
        <v>64</v>
      </c>
      <c r="D40" s="11"/>
      <c r="E40" s="12" t="s">
        <v>9</v>
      </c>
      <c r="F40" s="12" t="s">
        <v>29</v>
      </c>
      <c r="G40" s="12"/>
      <c r="H40" s="11" t="s">
        <v>63</v>
      </c>
    </row>
    <row r="41" customFormat="false" ht="15" hidden="false" customHeight="false" outlineLevel="0" collapsed="false">
      <c r="A41" s="11" t="n">
        <v>25</v>
      </c>
      <c r="B41" s="11" t="s">
        <v>13</v>
      </c>
      <c r="C41" s="11" t="s">
        <v>65</v>
      </c>
      <c r="D41" s="11"/>
      <c r="E41" s="12" t="s">
        <v>9</v>
      </c>
      <c r="F41" s="12" t="s">
        <v>29</v>
      </c>
      <c r="G41" s="12"/>
      <c r="H41" s="11" t="s">
        <v>63</v>
      </c>
    </row>
    <row r="42" customFormat="false" ht="15" hidden="false" customHeight="false" outlineLevel="0" collapsed="false">
      <c r="A42" s="11" t="n">
        <v>26</v>
      </c>
      <c r="B42" s="11" t="s">
        <v>13</v>
      </c>
      <c r="C42" s="11" t="s">
        <v>66</v>
      </c>
      <c r="D42" s="11"/>
      <c r="E42" s="12" t="s">
        <v>9</v>
      </c>
      <c r="F42" s="12" t="s">
        <v>29</v>
      </c>
      <c r="G42" s="12"/>
      <c r="H42" s="11" t="s">
        <v>63</v>
      </c>
    </row>
    <row r="43" customFormat="false" ht="15" hidden="false" customHeight="false" outlineLevel="0" collapsed="false">
      <c r="A43" s="11" t="n">
        <v>27</v>
      </c>
      <c r="B43" s="11" t="s">
        <v>13</v>
      </c>
      <c r="C43" s="11" t="s">
        <v>67</v>
      </c>
      <c r="D43" s="11"/>
      <c r="E43" s="12" t="s">
        <v>9</v>
      </c>
      <c r="F43" s="12" t="s">
        <v>29</v>
      </c>
      <c r="G43" s="12"/>
      <c r="H43" s="11" t="s">
        <v>63</v>
      </c>
    </row>
  </sheetData>
  <autoFilter ref="A16:H43"/>
  <conditionalFormatting sqref="E17:E43">
    <cfRule type="cellIs" priority="2" operator="equal" aboveAverage="0" equalAverage="0" bottom="0" percent="0" rank="0" text="" dxfId="4">
      <formula>"Done"</formula>
    </cfRule>
    <cfRule type="cellIs" priority="3" operator="equal" aboveAverage="0" equalAverage="0" bottom="0" percent="0" rank="0" text="" dxfId="5">
      <formula>"In progress"</formula>
    </cfRule>
    <cfRule type="cellIs" priority="4" operator="equal" aboveAverage="0" equalAverage="0" bottom="0" percent="0" rank="0" text="" dxfId="6">
      <formula>"Needs review"</formula>
    </cfRule>
    <cfRule type="cellIs" priority="5" operator="equal" aboveAverage="0" equalAverage="0" bottom="0" percent="0" rank="0" text="" dxfId="7">
      <formula>"Can't be done"</formula>
    </cfRule>
  </conditionalFormatting>
  <conditionalFormatting sqref="F17:F43">
    <cfRule type="cellIs" priority="6" operator="equal" aboveAverage="0" equalAverage="0" bottom="0" percent="0" rank="0" text="" dxfId="4">
      <formula>"Yes"</formula>
    </cfRule>
  </conditionalFormatting>
  <dataValidations count="2">
    <dataValidation allowBlank="false" errorStyle="stop" operator="between" showDropDown="false" showErrorMessage="false" showInputMessage="false" sqref="E17:E43" type="list">
      <formula1>"Not started,In progress,Needs review,Can't be done,Done"</formula1>
      <formula2>0</formula2>
    </dataValidation>
    <dataValidation allowBlank="false" errorStyle="stop" operator="between" showDropDown="false" showErrorMessage="false" showInputMessage="false" sqref="F17:F4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2026-10-16T01:13:50Z</dcterms:created>
  <dc:creator>openpyxl</dc:creator>
  <dc:description/>
  <dc:language>en-US</dc:language>
  <cp:lastModifiedBy/>
  <dcterms:modified xsi:type="dcterms:W3CDTF">2026-10-16T01:13:50Z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